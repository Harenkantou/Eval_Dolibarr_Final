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eval_dolibarr\data\Verif_excel\"/>
    </mc:Choice>
  </mc:AlternateContent>
  <bookViews>
    <workbookView xWindow="0" yWindow="0" windowWidth="23040" windowHeight="10512" firstSheet="2" activeTab="3"/>
  </bookViews>
  <sheets>
    <sheet name="Fichier 1" sheetId="3" r:id="rId1"/>
    <sheet name="Fichier 2" sheetId="4" r:id="rId2"/>
    <sheet name="JourFeries" sheetId="5" r:id="rId3"/>
    <sheet name="CritereGenereSalaire" sheetId="1" r:id="rId4"/>
    <sheet name="SalaireEnMasse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F2" i="1" l="1"/>
  <c r="G2" i="1"/>
  <c r="E2" i="2"/>
  <c r="G3" i="2"/>
  <c r="G6" i="2"/>
  <c r="G4" i="2"/>
  <c r="G5" i="2"/>
  <c r="G2" i="2"/>
  <c r="F3" i="2"/>
  <c r="F6" i="2"/>
  <c r="F5" i="2"/>
  <c r="F4" i="2"/>
  <c r="F2" i="2"/>
  <c r="D4" i="2" l="1"/>
  <c r="H4" i="2" s="1"/>
  <c r="D5" i="2"/>
  <c r="H5" i="2" s="1"/>
  <c r="D6" i="2"/>
  <c r="H6" i="2" s="1"/>
  <c r="D3" i="2"/>
  <c r="H3" i="2" s="1"/>
  <c r="D2" i="2"/>
  <c r="H2" i="2" s="1"/>
</calcChain>
</file>

<file path=xl/sharedStrings.xml><?xml version="1.0" encoding="utf-8"?>
<sst xmlns="http://schemas.openxmlformats.org/spreadsheetml/2006/main" count="52" uniqueCount="44">
  <si>
    <t>% majoration Ferie</t>
  </si>
  <si>
    <t>% majoration S ou D</t>
  </si>
  <si>
    <t>Salaire par jour</t>
  </si>
  <si>
    <t>Samedi</t>
  </si>
  <si>
    <t>Dimanche</t>
  </si>
  <si>
    <t>dateDebut</t>
  </si>
  <si>
    <t>dateFin</t>
  </si>
  <si>
    <t>montant</t>
  </si>
  <si>
    <t>nbrJoursOuvres</t>
  </si>
  <si>
    <t>nbrJourFeries</t>
  </si>
  <si>
    <t>ref_employe</t>
  </si>
  <si>
    <t>nom</t>
  </si>
  <si>
    <t>genre</t>
  </si>
  <si>
    <t>identifiant</t>
  </si>
  <si>
    <t>mdp</t>
  </si>
  <si>
    <t>heure_travail_semaine</t>
  </si>
  <si>
    <t>poste</t>
  </si>
  <si>
    <t>Rakotobe</t>
  </si>
  <si>
    <t>homme</t>
  </si>
  <si>
    <t>rakoto1</t>
  </si>
  <si>
    <t>hImsghv2pqC0</t>
  </si>
  <si>
    <t>Comptable</t>
  </si>
  <si>
    <t>Rasoabe</t>
  </si>
  <si>
    <t>femme</t>
  </si>
  <si>
    <t>rasoa1</t>
  </si>
  <si>
    <t>Technicien</t>
  </si>
  <si>
    <t>Rajao</t>
  </si>
  <si>
    <t>rajao1</t>
  </si>
  <si>
    <t>Vente</t>
  </si>
  <si>
    <t>Rajenja</t>
  </si>
  <si>
    <t>rajenja1</t>
  </si>
  <si>
    <t>ref_salaire</t>
  </si>
  <si>
    <t>date_debut</t>
  </si>
  <si>
    <t>date_fin</t>
  </si>
  <si>
    <t>paiement</t>
  </si>
  <si>
    <t>{["08/03/26",890]}</t>
  </si>
  <si>
    <t>{["08/03/26",480],["08/03/26",300]}</t>
  </si>
  <si>
    <t>{["08/05/26",200]}</t>
  </si>
  <si>
    <t>JourFerie</t>
  </si>
  <si>
    <t>nbrSamedi</t>
  </si>
  <si>
    <t>nbrDimanche</t>
  </si>
  <si>
    <t>Montant_JF_Majore</t>
  </si>
  <si>
    <t>Montant_W_majore</t>
  </si>
  <si>
    <t>Montant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</si>
</sst>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2" borderId="1" xfId="0" applyNumberFormat="1" applyFont="1" applyFill="1" applyBorder="1"/>
    <xf numFmtId="0" fontId="0" fillId="2" borderId="0" xfId="0" applyFont="1" applyFill="1" applyBorder="1"/>
    <xf numFmtId="0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4" name="Tableau4" displayName="Tableau4" ref="A1:G5" totalsRowShown="0">
  <autoFilter ref="A1:G5">
    <filterColumn colId="6">
      <filters>
        <filter val="Technicien"/>
      </filters>
    </filterColumn>
  </autoFilter>
  <tableColumns count="7">
    <tableColumn id="1" name="ref_employe"/>
    <tableColumn id="2" name="nom"/>
    <tableColumn id="3" name="genre"/>
    <tableColumn id="4" name="identifiant"/>
    <tableColumn id="5" name="mdp"/>
    <tableColumn id="6" name="heure_travail_semaine"/>
    <tableColumn id="7" name="pos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F10" totalsRowShown="0">
  <autoFilter ref="A1:F10">
    <filterColumn colId="2">
      <dynamicFilter type="M2"/>
    </filterColumn>
  </autoFilter>
  <sortState ref="A2:F6">
    <sortCondition ref="B1:B10"/>
  </sortState>
  <tableColumns count="6">
    <tableColumn id="1" name="ref_salaire"/>
    <tableColumn id="2" name="ref_employe"/>
    <tableColumn id="3" name="date_debut" dataDxfId="1"/>
    <tableColumn id="4" name="date_fin" dataDxfId="0"/>
    <tableColumn id="5" name="montant"/>
    <tableColumn id="6" name="paie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au1" displayName="Tableau1" ref="A1:G2" totalsRowShown="0">
  <autoFilter ref="A1:G2"/>
  <tableColumns count="7">
    <tableColumn id="1" name="Salaire par jour"/>
    <tableColumn id="2" name="% majoration Ferie"/>
    <tableColumn id="3" name="% majoration S ou D"/>
    <tableColumn id="4" name="Samedi"/>
    <tableColumn id="5" name="Dimanche"/>
    <tableColumn id="6" name="Montant_JF_Majore">
      <calculatedColumnFormula>(Tableau1[Salaire par jour]*Tableau1[% majoration Ferie])/100</calculatedColumnFormula>
    </tableColumn>
    <tableColumn id="7" name="Montant_W_majore">
      <calculatedColumnFormula>(Tableau1[Salaire par jour]*Tableau1[% majoration S ou D])/100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D12" sqref="D12"/>
    </sheetView>
  </sheetViews>
  <sheetFormatPr baseColWidth="10" defaultRowHeight="14.4" x14ac:dyDescent="0.3"/>
  <cols>
    <col min="1" max="1" width="13.5546875" customWidth="1"/>
    <col min="2" max="2" width="8.88671875" bestFit="1" customWidth="1"/>
    <col min="3" max="3" width="7.6640625" customWidth="1"/>
    <col min="4" max="4" width="11.5546875" customWidth="1"/>
    <col min="5" max="5" width="12.77734375" bestFit="1" customWidth="1"/>
    <col min="6" max="6" width="22" customWidth="1"/>
    <col min="7" max="7" width="9.88671875" bestFit="1" customWidth="1"/>
  </cols>
  <sheetData>
    <row r="1" spans="1:7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hidden="1" x14ac:dyDescent="0.3">
      <c r="A2">
        <v>1</v>
      </c>
      <c r="B2" t="s">
        <v>17</v>
      </c>
      <c r="C2" t="s">
        <v>18</v>
      </c>
      <c r="D2" t="s">
        <v>19</v>
      </c>
      <c r="E2" t="s">
        <v>20</v>
      </c>
      <c r="F2">
        <v>35</v>
      </c>
      <c r="G2" t="s">
        <v>21</v>
      </c>
    </row>
    <row r="3" spans="1:7" x14ac:dyDescent="0.3">
      <c r="A3">
        <v>2</v>
      </c>
      <c r="B3" t="s">
        <v>22</v>
      </c>
      <c r="C3" t="s">
        <v>23</v>
      </c>
      <c r="D3" t="s">
        <v>24</v>
      </c>
      <c r="E3" t="s">
        <v>20</v>
      </c>
      <c r="F3">
        <v>35</v>
      </c>
      <c r="G3" t="s">
        <v>25</v>
      </c>
    </row>
    <row r="4" spans="1:7" hidden="1" x14ac:dyDescent="0.3">
      <c r="A4">
        <v>3</v>
      </c>
      <c r="B4" t="s">
        <v>26</v>
      </c>
      <c r="C4" t="s">
        <v>18</v>
      </c>
      <c r="D4" t="s">
        <v>27</v>
      </c>
      <c r="E4" t="s">
        <v>20</v>
      </c>
      <c r="F4">
        <v>30</v>
      </c>
      <c r="G4" t="s">
        <v>28</v>
      </c>
    </row>
    <row r="5" spans="1:7" x14ac:dyDescent="0.3">
      <c r="A5">
        <v>4</v>
      </c>
      <c r="B5" t="s">
        <v>29</v>
      </c>
      <c r="C5" t="s">
        <v>18</v>
      </c>
      <c r="D5" t="s">
        <v>30</v>
      </c>
      <c r="E5" t="s">
        <v>20</v>
      </c>
      <c r="F5">
        <v>30</v>
      </c>
      <c r="G5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D13" sqref="D13"/>
    </sheetView>
  </sheetViews>
  <sheetFormatPr baseColWidth="10" defaultRowHeight="14.4" x14ac:dyDescent="0.3"/>
  <cols>
    <col min="1" max="1" width="11.5546875" customWidth="1"/>
    <col min="2" max="2" width="13.5546875" customWidth="1"/>
    <col min="3" max="3" width="12.6640625" customWidth="1"/>
    <col min="4" max="4" width="10.5546875" bestFit="1" customWidth="1"/>
    <col min="5" max="5" width="10.21875" customWidth="1"/>
    <col min="6" max="6" width="30.88671875" bestFit="1" customWidth="1"/>
  </cols>
  <sheetData>
    <row r="1" spans="1:6" x14ac:dyDescent="0.3">
      <c r="A1" t="s">
        <v>31</v>
      </c>
      <c r="B1" t="s">
        <v>10</v>
      </c>
      <c r="C1" t="s">
        <v>32</v>
      </c>
      <c r="D1" t="s">
        <v>33</v>
      </c>
      <c r="E1" t="s">
        <v>7</v>
      </c>
      <c r="F1" t="s">
        <v>34</v>
      </c>
    </row>
    <row r="2" spans="1:6" x14ac:dyDescent="0.3">
      <c r="A2">
        <v>5</v>
      </c>
      <c r="B2">
        <v>2</v>
      </c>
      <c r="C2" s="1">
        <v>45324</v>
      </c>
      <c r="D2" s="1">
        <v>45337</v>
      </c>
      <c r="E2">
        <v>300</v>
      </c>
    </row>
    <row r="3" spans="1:6" x14ac:dyDescent="0.3">
      <c r="A3">
        <v>7</v>
      </c>
      <c r="B3">
        <v>2</v>
      </c>
      <c r="C3" s="1">
        <v>45342</v>
      </c>
      <c r="D3" s="1">
        <v>45343</v>
      </c>
      <c r="E3">
        <v>100</v>
      </c>
    </row>
    <row r="4" spans="1:6" x14ac:dyDescent="0.3">
      <c r="A4">
        <v>8</v>
      </c>
      <c r="B4">
        <v>2</v>
      </c>
      <c r="C4" s="1">
        <v>45349</v>
      </c>
      <c r="D4" s="1">
        <v>45351</v>
      </c>
      <c r="E4">
        <v>150</v>
      </c>
    </row>
    <row r="5" spans="1:6" x14ac:dyDescent="0.3">
      <c r="A5">
        <v>6</v>
      </c>
      <c r="B5">
        <v>4</v>
      </c>
      <c r="C5" s="1">
        <v>45332</v>
      </c>
      <c r="D5" s="1">
        <v>45342</v>
      </c>
      <c r="E5">
        <v>200</v>
      </c>
    </row>
    <row r="6" spans="1:6" x14ac:dyDescent="0.3">
      <c r="A6">
        <v>9</v>
      </c>
      <c r="B6">
        <v>4</v>
      </c>
      <c r="C6" s="1">
        <v>45335</v>
      </c>
      <c r="D6" s="1">
        <v>45343</v>
      </c>
      <c r="E6">
        <v>200</v>
      </c>
    </row>
    <row r="7" spans="1:6" hidden="1" x14ac:dyDescent="0.3">
      <c r="A7">
        <v>1</v>
      </c>
      <c r="B7">
        <v>1</v>
      </c>
      <c r="C7" s="1">
        <v>46082</v>
      </c>
      <c r="D7" s="1">
        <v>46089</v>
      </c>
      <c r="E7">
        <v>890</v>
      </c>
      <c r="F7" t="s">
        <v>35</v>
      </c>
    </row>
    <row r="8" spans="1:6" hidden="1" x14ac:dyDescent="0.3">
      <c r="A8">
        <v>4</v>
      </c>
      <c r="B8">
        <v>2</v>
      </c>
      <c r="C8" s="1">
        <v>46082</v>
      </c>
      <c r="D8" s="1">
        <v>46089</v>
      </c>
      <c r="E8">
        <v>677.56</v>
      </c>
    </row>
    <row r="9" spans="1:6" hidden="1" x14ac:dyDescent="0.3">
      <c r="A9">
        <v>2</v>
      </c>
      <c r="B9">
        <v>1</v>
      </c>
      <c r="C9" s="1">
        <v>46083</v>
      </c>
      <c r="D9" s="1">
        <v>46116</v>
      </c>
      <c r="E9">
        <v>780</v>
      </c>
      <c r="F9" t="s">
        <v>36</v>
      </c>
    </row>
    <row r="10" spans="1:6" hidden="1" x14ac:dyDescent="0.3">
      <c r="A10">
        <v>3</v>
      </c>
      <c r="B10">
        <v>1</v>
      </c>
      <c r="C10" s="1">
        <v>46144</v>
      </c>
      <c r="D10" s="1">
        <v>46156</v>
      </c>
      <c r="E10">
        <v>500</v>
      </c>
      <c r="F10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5" sqref="A5"/>
    </sheetView>
  </sheetViews>
  <sheetFormatPr baseColWidth="10" defaultRowHeight="14.4" x14ac:dyDescent="0.3"/>
  <sheetData>
    <row r="1" spans="1:1" x14ac:dyDescent="0.3">
      <c r="A1" t="s">
        <v>38</v>
      </c>
    </row>
    <row r="2" spans="1:1" x14ac:dyDescent="0.3">
      <c r="A2" s="1">
        <v>45336</v>
      </c>
    </row>
    <row r="3" spans="1:1" x14ac:dyDescent="0.3">
      <c r="A3" s="1">
        <v>45344</v>
      </c>
    </row>
    <row r="4" spans="1:1" x14ac:dyDescent="0.3">
      <c r="A4" s="1">
        <v>45340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D7" sqref="D7"/>
    </sheetView>
  </sheetViews>
  <sheetFormatPr baseColWidth="10" defaultRowHeight="14.4" x14ac:dyDescent="0.3"/>
  <cols>
    <col min="1" max="1" width="15.5546875" customWidth="1"/>
    <col min="2" max="2" width="18.5546875" customWidth="1"/>
    <col min="3" max="3" width="19.88671875" customWidth="1"/>
    <col min="6" max="6" width="20.44140625" bestFit="1" customWidth="1"/>
    <col min="7" max="7" width="20.5546875" bestFit="1" customWidth="1"/>
  </cols>
  <sheetData>
    <row r="1" spans="1:7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41</v>
      </c>
      <c r="G1" t="s">
        <v>42</v>
      </c>
    </row>
    <row r="2" spans="1:7" x14ac:dyDescent="0.3">
      <c r="A2">
        <v>20</v>
      </c>
      <c r="B2">
        <v>200</v>
      </c>
      <c r="C2">
        <v>100</v>
      </c>
      <c r="D2">
        <v>1</v>
      </c>
      <c r="E2">
        <v>1</v>
      </c>
      <c r="F2">
        <f>(Tableau1[Salaire par jour]*Tableau1[% majoration Ferie])/100</f>
        <v>40</v>
      </c>
      <c r="G2">
        <f>(Tableau1[Salaire par jour]*Tableau1[% majoration S ou D])/100</f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G9" sqref="G9"/>
    </sheetView>
  </sheetViews>
  <sheetFormatPr baseColWidth="10" defaultRowHeight="14.4" x14ac:dyDescent="0.3"/>
  <cols>
    <col min="5" max="5" width="11.88671875" style="4" bestFit="1" customWidth="1"/>
  </cols>
  <sheetData>
    <row r="1" spans="1:8" x14ac:dyDescent="0.3">
      <c r="A1" t="s">
        <v>10</v>
      </c>
      <c r="B1" t="s">
        <v>5</v>
      </c>
      <c r="C1" t="s">
        <v>6</v>
      </c>
      <c r="D1" t="s">
        <v>8</v>
      </c>
      <c r="E1" s="4" t="s">
        <v>9</v>
      </c>
      <c r="F1" t="s">
        <v>39</v>
      </c>
      <c r="G1" t="s">
        <v>40</v>
      </c>
      <c r="H1" t="s">
        <v>43</v>
      </c>
    </row>
    <row r="2" spans="1:8" x14ac:dyDescent="0.3">
      <c r="A2" s="3">
        <v>2</v>
      </c>
      <c r="B2" s="2">
        <v>45323</v>
      </c>
      <c r="C2" s="2">
        <v>45323</v>
      </c>
      <c r="D2">
        <f ca="1">(C2-B2+1)-E2-F2-G2</f>
        <v>1</v>
      </c>
      <c r="E2" s="4">
        <f ca="1">COUNTIFS(JourFeries!A2:A34,"&gt;="&amp;B2,JourFeries!$A$2:$A$34,"&lt;="&amp;C2) - IF(CritereGenereSalaire!$B$2&lt;CritereGenereSalaire!$C$2,SUMPRODUCT((WEEKDAY(ROW(INDIRECT(B2&amp;":"&amp;C2)))=7)*COUNTIF(JourFeries!$A$2:$A$34,ROW(INDIRECT(B2&amp;":"&amp;C2))))+SUMPRODUCT((WEEKDAY(ROW(INDIRECT(B2&amp;":"&amp;C2)))=1)*COUNTIF(JourFeries!$A$2:$A$34,ROW(INDIRECT(B2&amp;":"&amp;C2)))),0)</f>
        <v>0</v>
      </c>
      <c r="F2">
        <f ca="1">SUMPRODUCT(--(WEEKDAY(ROW(INDIRECT(B2&amp;":"&amp;C2)))=7)) - IF(CritereGenereSalaire!$B$2&gt;=CritereGenereSalaire!$C$2,SUMPRODUCT((WEEKDAY(ROW(INDIRECT(B2&amp;":"&amp;C2)))=7)*COUNTIF(JourFeries!$A$2:$A$34,ROW(INDIRECT(B2&amp;":"&amp;C2)))),0)</f>
        <v>0</v>
      </c>
      <c r="G2">
        <f ca="1">SUMPRODUCT(--(WEEKDAY(ROW(INDIRECT(B2&amp;":"&amp;C2)))=1)) - IF(CritereGenereSalaire!$B$2&gt;=CritereGenereSalaire!$C$2,SUMPRODUCT((WEEKDAY(ROW(INDIRECT(B2&amp;":"&amp;C2)))=1)*COUNTIF(JourFeries!$A$2:$A$34,ROW(INDIRECT(B2&amp;":"&amp;C2)))),0)</f>
        <v>0</v>
      </c>
      <c r="H2">
        <f ca="1">(D2*Tableau1[Salaire par jour])+E2*(Tableau1[Montant_JF_Majore]+Tableau1[Salaire par jour])+(F2*(Tableau1[Montant_W_majore]+Tableau1[Salaire par jour])*CritereGenereSalaire!$D$2)+(G2*(Tableau1[Montant_W_majore]+Tableau1[Salaire par jour])*CritereGenereSalaire!$E$2)</f>
        <v>20</v>
      </c>
    </row>
    <row r="3" spans="1:8" x14ac:dyDescent="0.3">
      <c r="A3">
        <v>2</v>
      </c>
      <c r="B3" s="2">
        <v>45338</v>
      </c>
      <c r="C3" s="2">
        <v>45341</v>
      </c>
      <c r="D3">
        <f t="shared" ref="D3:D6" ca="1" si="0">(C3-B3+1)-E3-F3-G3</f>
        <v>2</v>
      </c>
      <c r="E3" s="4">
        <f ca="1">COUNTIFS(JourFeries!$A$2:$A$34,"&gt;="&amp;B3,JourFeries!$A$2:$A$34,"&lt;="&amp;C3) - IF(CritereGenereSalaire!$B$2&lt;CritereGenereSalaire!$C$2,SUMPRODUCT((WEEKDAY(ROW(INDIRECT(B3&amp;":"&amp;C3)))=7)*COUNTIF(JourFeries!$A$2:$A$34,ROW(INDIRECT(B3&amp;":"&amp;C3))))+SUMPRODUCT((WEEKDAY(ROW(INDIRECT(B3&amp;":"&amp;C3)))=1)*COUNTIF(JourFeries!$A$2:$A$34,ROW(INDIRECT(B3&amp;":"&amp;C3)))),0)</f>
        <v>1</v>
      </c>
      <c r="F3">
        <f ca="1">SUMPRODUCT(--(WEEKDAY(ROW(INDIRECT(B3&amp;":"&amp;C3)))=7)) - IF(CritereGenereSalaire!$B$2&gt;=CritereGenereSalaire!$C$2,SUMPRODUCT((WEEKDAY(ROW(INDIRECT(B3&amp;":"&amp;C3)))=7)*COUNTIF(JourFeries!$A$2:$A$34,ROW(INDIRECT(B3&amp;":"&amp;C3)))),0)</f>
        <v>1</v>
      </c>
      <c r="G3">
        <f ca="1">SUMPRODUCT(--(WEEKDAY(ROW(INDIRECT(B3&amp;":"&amp;C3)))=1)) - IF(CritereGenereSalaire!$B$2&gt;=CritereGenereSalaire!$C$2,SUMPRODUCT((WEEKDAY(ROW(INDIRECT(B3&amp;":"&amp;C3)))=1)*COUNTIF(JourFeries!$A$2:$A$34,ROW(INDIRECT(B3&amp;":"&amp;C3)))),0)</f>
        <v>0</v>
      </c>
      <c r="H3">
        <f ca="1">(D3*Tableau1[Salaire par jour])+E3*(Tableau1[Montant_JF_Majore]+Tableau1[Salaire par jour])+(F3*(Tableau1[Montant_W_majore]+Tableau1[Salaire par jour])*CritereGenereSalaire!$D$2)+(G3*(Tableau1[Montant_W_majore]+Tableau1[Salaire par jour])*CritereGenereSalaire!$E$2)</f>
        <v>140</v>
      </c>
    </row>
    <row r="4" spans="1:8" x14ac:dyDescent="0.3">
      <c r="A4" s="3">
        <v>2</v>
      </c>
      <c r="B4" s="1">
        <v>45344</v>
      </c>
      <c r="C4" s="1">
        <v>45348</v>
      </c>
      <c r="D4">
        <f t="shared" ca="1" si="0"/>
        <v>2</v>
      </c>
      <c r="E4" s="4">
        <f ca="1">COUNTIFS(JourFeries!$A$2:$A$34,"&gt;="&amp;B4,JourFeries!$A$2:$A$34,"&lt;="&amp;C4) - IF(CritereGenereSalaire!$B$2&lt;CritereGenereSalaire!$C$2,SUMPRODUCT((WEEKDAY(ROW(INDIRECT(B4&amp;":"&amp;C4)))=7)*COUNTIF(JourFeries!$A$2:$A$34,ROW(INDIRECT(B4&amp;":"&amp;C4))))+SUMPRODUCT((WEEKDAY(ROW(INDIRECT(B4&amp;":"&amp;C4)))=1)*COUNTIF(JourFeries!$A$2:$A$34,ROW(INDIRECT(B4&amp;":"&amp;C4)))),0)</f>
        <v>1</v>
      </c>
      <c r="F4">
        <f ca="1">SUMPRODUCT(--(WEEKDAY(ROW(INDIRECT(B4&amp;":"&amp;C4)))=7)) - IF(CritereGenereSalaire!$B$2&gt;=CritereGenereSalaire!$C$2,SUMPRODUCT((WEEKDAY(ROW(INDIRECT(B4&amp;":"&amp;C4)))=7)*COUNTIF(JourFeries!$A$2:$A$34,ROW(INDIRECT(B4&amp;":"&amp;C4)))),0)</f>
        <v>1</v>
      </c>
      <c r="G4">
        <f ca="1">SUMPRODUCT(--(WEEKDAY(ROW(INDIRECT(B4&amp;":"&amp;C4)))=1)) - IF(CritereGenereSalaire!$B$2&gt;=CritereGenereSalaire!$C$2,SUMPRODUCT((WEEKDAY(ROW(INDIRECT(B4&amp;":"&amp;C4)))=1)*COUNTIF(JourFeries!$A$2:$A$34,ROW(INDIRECT(B4&amp;":"&amp;C4)))),0)</f>
        <v>1</v>
      </c>
      <c r="H4">
        <f ca="1">(D4*Tableau1[Salaire par jour])+E4*(Tableau1[Montant_JF_Majore]+Tableau1[Salaire par jour])+(F4*(Tableau1[Montant_W_majore]+Tableau1[Salaire par jour])*CritereGenereSalaire!$D$2)+(G4*(Tableau1[Montant_W_majore]+Tableau1[Salaire par jour])*CritereGenereSalaire!$E$2)</f>
        <v>180</v>
      </c>
    </row>
    <row r="5" spans="1:8" x14ac:dyDescent="0.3">
      <c r="A5" s="3">
        <v>4</v>
      </c>
      <c r="B5" s="2">
        <v>45323</v>
      </c>
      <c r="C5" s="2">
        <v>45331</v>
      </c>
      <c r="D5">
        <f t="shared" ca="1" si="0"/>
        <v>7</v>
      </c>
      <c r="E5" s="4">
        <f ca="1">COUNTIFS(JourFeries!$A$2:$A$34,"&gt;="&amp;B5,JourFeries!$A$2:$A$34,"&lt;="&amp;C5) - IF(CritereGenereSalaire!$B$2&lt;CritereGenereSalaire!$C$2,SUMPRODUCT((WEEKDAY(ROW(INDIRECT(B5&amp;":"&amp;C5)))=7)*COUNTIF(JourFeries!$A$2:$A$34,ROW(INDIRECT(B5&amp;":"&amp;C5))))+SUMPRODUCT((WEEKDAY(ROW(INDIRECT(B5&amp;":"&amp;C5)))=1)*COUNTIF(JourFeries!$A$2:$A$34,ROW(INDIRECT(B5&amp;":"&amp;C5)))),0)</f>
        <v>0</v>
      </c>
      <c r="F5">
        <f ca="1">SUMPRODUCT(--(WEEKDAY(ROW(INDIRECT(B5&amp;":"&amp;C5)))=7)) - IF(CritereGenereSalaire!$B$2&gt;=CritereGenereSalaire!$C$2,SUMPRODUCT((WEEKDAY(ROW(INDIRECT(B5&amp;":"&amp;C5)))=7)*COUNTIF(JourFeries!$A$2:$A$34,ROW(INDIRECT(B5&amp;":"&amp;C5)))),0)</f>
        <v>1</v>
      </c>
      <c r="G5">
        <f ca="1">SUMPRODUCT(--(WEEKDAY(ROW(INDIRECT(B5&amp;":"&amp;C5)))=1)) - IF(CritereGenereSalaire!$B$2&gt;=CritereGenereSalaire!$C$2,SUMPRODUCT((WEEKDAY(ROW(INDIRECT(B5&amp;":"&amp;C5)))=1)*COUNTIF(JourFeries!$A$2:$A$34,ROW(INDIRECT(B5&amp;":"&amp;C5)))),0)</f>
        <v>1</v>
      </c>
      <c r="H5">
        <f ca="1">(D5*Tableau1[Salaire par jour])+E5*(Tableau1[Montant_JF_Majore]+Tableau1[Salaire par jour])+(F5*(Tableau1[Montant_W_majore]+Tableau1[Salaire par jour])*CritereGenereSalaire!$D$2)+(G5*(Tableau1[Montant_W_majore]+Tableau1[Salaire par jour])*CritereGenereSalaire!$E$2)</f>
        <v>220</v>
      </c>
    </row>
    <row r="6" spans="1:8" x14ac:dyDescent="0.3">
      <c r="A6">
        <v>4</v>
      </c>
      <c r="B6" s="2">
        <v>45344</v>
      </c>
      <c r="C6" s="2">
        <v>45351</v>
      </c>
      <c r="D6">
        <f t="shared" ca="1" si="0"/>
        <v>5</v>
      </c>
      <c r="E6" s="4">
        <f ca="1">COUNTIFS(JourFeries!$A$2:$A$34,"&gt;="&amp;B6,JourFeries!$A$2:$A$34,"&lt;="&amp;C6) - IF(CritereGenereSalaire!$B$2&lt;CritereGenereSalaire!$C$2,SUMPRODUCT((WEEKDAY(ROW(INDIRECT(B6&amp;":"&amp;C6)))=7)*COUNTIF(JourFeries!$A$2:$A$34,ROW(INDIRECT(B6&amp;":"&amp;C6))))+SUMPRODUCT((WEEKDAY(ROW(INDIRECT(B6&amp;":"&amp;C6)))=1)*COUNTIF(JourFeries!$A$2:$A$34,ROW(INDIRECT(B6&amp;":"&amp;C6)))),0)</f>
        <v>1</v>
      </c>
      <c r="F6">
        <f ca="1">SUMPRODUCT(--(WEEKDAY(ROW(INDIRECT(B6&amp;":"&amp;C6)))=7)) - IF(CritereGenereSalaire!$B$2&gt;=CritereGenereSalaire!$C$2,SUMPRODUCT((WEEKDAY(ROW(INDIRECT(B6&amp;":"&amp;C6)))=7)*COUNTIF(JourFeries!$A$2:$A$34,ROW(INDIRECT(B6&amp;":"&amp;C6)))),0)</f>
        <v>1</v>
      </c>
      <c r="G6">
        <f ca="1">SUMPRODUCT(--(WEEKDAY(ROW(INDIRECT(B6&amp;":"&amp;C6)))=1)) - IF(CritereGenereSalaire!$B$2&gt;=CritereGenereSalaire!$C$2,SUMPRODUCT((WEEKDAY(ROW(INDIRECT(B6&amp;":"&amp;C6)))=1)*COUNTIF(JourFeries!$A$2:$A$34,ROW(INDIRECT(B6&amp;":"&amp;C6)))),0)</f>
        <v>1</v>
      </c>
      <c r="H6">
        <f ca="1">(D6*Tableau1[Salaire par jour])+E6*(Tableau1[Montant_JF_Majore]+Tableau1[Salaire par jour])+(F6*(Tableau1[Montant_W_majore]+Tableau1[Salaire par jour])*CritereGenereSalaire!$D$2)+(G6*(Tableau1[Montant_W_majore]+Tableau1[Salaire par jour])*CritereGenereSalaire!$E$2)</f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Fichier 1</vt:lpstr>
      <vt:lpstr>Fichier 2</vt:lpstr>
      <vt:lpstr>JourFeries</vt:lpstr>
      <vt:lpstr>CritereGenereSalaire</vt:lpstr>
      <vt:lpstr>SalaireEnMasse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2026-07-09T13:15:20Z</dcterms:created>
  <dcterms:modified xsi:type="dcterms:W3CDTF">2026-07-09T15:45:46Z</dcterms:modified>
</cp:coreProperties>
</file>